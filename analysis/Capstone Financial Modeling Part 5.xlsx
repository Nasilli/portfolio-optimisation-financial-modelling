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lucanasillo/Documents/"/>
    </mc:Choice>
  </mc:AlternateContent>
  <xr:revisionPtr revIDLastSave="0" documentId="13_ncr:1_{6A82A2EB-1FD1-3A44-95F9-68DC2FB7B713}" xr6:coauthVersionLast="47" xr6:coauthVersionMax="47" xr10:uidLastSave="{00000000-0000-0000-0000-000000000000}"/>
  <bookViews>
    <workbookView xWindow="5520" yWindow="620" windowWidth="29740" windowHeight="19660" tabRatio="500" activeTab="2" xr2:uid="{00000000-000D-0000-FFFF-FFFF00000000}"/>
  </bookViews>
  <sheets>
    <sheet name="Portoflio Construction" sheetId="1" r:id="rId1"/>
    <sheet name="Portfolio Performance" sheetId="5" r:id="rId2"/>
    <sheet name="AAPL" sheetId="4" r:id="rId3"/>
  </sheets>
  <definedNames>
    <definedName name="solver_adj" localSheetId="0" hidden="1">'Portoflio Construction'!$K$4:$L$4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'Portoflio Construction'!$N$4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</definedName>
    <definedName name="solver_opt" localSheetId="0" hidden="1">'Portoflio Construction'!$K$8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'Portoflio Construction'!$P$4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5" l="1"/>
  <c r="J17" i="5"/>
  <c r="K12" i="5" s="1"/>
  <c r="I15" i="4"/>
  <c r="I16" i="4"/>
  <c r="I4" i="4"/>
  <c r="I5" i="4"/>
  <c r="I6" i="4"/>
  <c r="I7" i="4"/>
  <c r="I8" i="4"/>
  <c r="I9" i="4"/>
  <c r="I10" i="4"/>
  <c r="I11" i="4"/>
  <c r="I12" i="4"/>
  <c r="I13" i="4"/>
  <c r="I14" i="4"/>
  <c r="I3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L9" i="1"/>
  <c r="K9" i="1"/>
  <c r="N4" i="1"/>
  <c r="K5" i="1"/>
  <c r="K7" i="1" s="1"/>
  <c r="K6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H3" i="5" l="1"/>
  <c r="I3" i="5"/>
  <c r="H9" i="5"/>
  <c r="H5" i="5"/>
  <c r="H8" i="5"/>
  <c r="H7" i="5"/>
  <c r="H6" i="5"/>
  <c r="H4" i="5"/>
  <c r="K8" i="1"/>
  <c r="H23" i="5" l="1" a="1"/>
  <c r="H23" i="5" s="1"/>
  <c r="H10" i="5"/>
  <c r="H17" i="5" s="1"/>
  <c r="H11" i="5"/>
  <c r="H18" i="5" s="1"/>
  <c r="H12" i="5"/>
  <c r="H19" i="5"/>
  <c r="I4" i="5"/>
  <c r="I5" i="5" s="1"/>
  <c r="I6" i="5" s="1"/>
  <c r="I7" i="5" s="1"/>
  <c r="I8" i="5" s="1"/>
  <c r="I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<sst xmlns="http://schemas.openxmlformats.org/spreadsheetml/2006/main" count="108" uniqueCount="61">
  <si>
    <t>Converting into decimal return</t>
  </si>
  <si>
    <t>Date</t>
  </si>
  <si>
    <t>VBTLX</t>
  </si>
  <si>
    <t>VFIAX</t>
  </si>
  <si>
    <t>Open</t>
  </si>
  <si>
    <t>High</t>
  </si>
  <si>
    <t>Low</t>
  </si>
  <si>
    <t>Close</t>
  </si>
  <si>
    <t>Volume</t>
  </si>
  <si>
    <t>Adj Close</t>
  </si>
  <si>
    <t>Month Date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</si>
  <si>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</si>
  <si>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</si>
  <si>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</si>
  <si>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</si>
  <si>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</si>
  <si>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</si>
  <si>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</si>
  <si>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</si>
  <si>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</si>
  <si>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</si>
  <si>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</si>
  <si>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</si>
  <si>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Exp Return</t>
  </si>
  <si>
    <t>Std Dev</t>
  </si>
  <si>
    <t>Varance</t>
  </si>
  <si>
    <t>Covariance</t>
  </si>
  <si>
    <t>Weight</t>
  </si>
  <si>
    <t>Portfolio Variance</t>
  </si>
  <si>
    <t>Expected Return</t>
  </si>
  <si>
    <t>Portoflio Sd</t>
  </si>
  <si>
    <t>Sharpe Ratio</t>
  </si>
  <si>
    <t>Investment Amount</t>
  </si>
  <si>
    <t>Portoflio Return</t>
  </si>
  <si>
    <t>Std</t>
  </si>
  <si>
    <t>Adj Returns</t>
  </si>
  <si>
    <t>Average Return</t>
  </si>
  <si>
    <t>Apple:</t>
  </si>
  <si>
    <t>&lt;</t>
  </si>
  <si>
    <t>Return</t>
  </si>
  <si>
    <t>Sharpe</t>
  </si>
  <si>
    <t>Month</t>
  </si>
  <si>
    <t>Portfolio Returns</t>
  </si>
  <si>
    <t>Apple Returns</t>
  </si>
  <si>
    <t>Investment</t>
  </si>
  <si>
    <r>
      <t xml:space="preserve">VBTLX </t>
    </r>
    <r>
      <rPr>
        <sz val="11"/>
        <color theme="1"/>
        <rFont val="Calibri"/>
        <family val="2"/>
        <scheme val="minor"/>
      </rPr>
      <t>(Bond Fund)</t>
    </r>
  </si>
  <si>
    <r>
      <t xml:space="preserve">VFIAX </t>
    </r>
    <r>
      <rPr>
        <sz val="11"/>
        <color theme="1"/>
        <rFont val="Calibri"/>
        <family val="2"/>
        <scheme val="minor"/>
      </rPr>
      <t>(Equity Fund)</t>
    </r>
  </si>
  <si>
    <t>Standard Deviation</t>
  </si>
  <si>
    <t>Combined Portfolio</t>
  </si>
  <si>
    <t>Metric</t>
  </si>
  <si>
    <t>Average Monthly Return</t>
  </si>
  <si>
    <t>Diversified Portfolio</t>
  </si>
  <si>
    <t>AAPL</t>
  </si>
  <si>
    <t>&gt;</t>
  </si>
  <si>
    <t>Jan</t>
  </si>
  <si>
    <t>March</t>
  </si>
  <si>
    <t>Feb</t>
  </si>
  <si>
    <t>May</t>
  </si>
  <si>
    <t>July</t>
  </si>
  <si>
    <t>June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</si>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</sst>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£&quot;* #,##0.00_);_(&quot;£&quot;* \(#,##0.00\);_(&quot;£&quot;* &quot;-&quot;??_);_(@_)"/>
    <numFmt numFmtId="164" formatCode="[$-409]mmm\-yy;@"/>
    <numFmt numFmtId="165" formatCode="_([$$-409]* #,##0.00_);_([$$-409]* \(#,##0.00\);_([$$-409]* &quot;-&quot;??_);_(@_)"/>
    <numFmt numFmtId="176" formatCode="0.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1" fillId="0" borderId="0" xfId="2"/>
    <xf numFmtId="14" fontId="1" fillId="0" borderId="0" xfId="2" applyNumberFormat="1"/>
    <xf numFmtId="10" fontId="0" fillId="0" borderId="0" xfId="0" applyNumberFormat="1"/>
    <xf numFmtId="10" fontId="1" fillId="0" borderId="0" xfId="2" applyNumberFormat="1"/>
    <xf numFmtId="0" fontId="4" fillId="0" borderId="0" xfId="0" applyFont="1"/>
    <xf numFmtId="10" fontId="4" fillId="0" borderId="0" xfId="0" applyNumberFormat="1" applyFont="1"/>
    <xf numFmtId="0" fontId="5" fillId="0" borderId="0" xfId="0" applyFont="1"/>
    <xf numFmtId="10" fontId="5" fillId="0" borderId="0" xfId="0" applyNumberFormat="1" applyFont="1"/>
    <xf numFmtId="0" fontId="0" fillId="0" borderId="0" xfId="0" applyNumberFormat="1"/>
    <xf numFmtId="0" fontId="4" fillId="0" borderId="0" xfId="0" applyNumberFormat="1" applyFont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5" fontId="0" fillId="0" borderId="7" xfId="1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5" fontId="0" fillId="0" borderId="14" xfId="1" applyNumberFormat="1" applyFont="1" applyBorder="1"/>
    <xf numFmtId="0" fontId="2" fillId="0" borderId="15" xfId="0" applyFont="1" applyBorder="1"/>
    <xf numFmtId="0" fontId="2" fillId="0" borderId="1" xfId="0" applyFont="1" applyBorder="1"/>
    <xf numFmtId="165" fontId="0" fillId="0" borderId="16" xfId="1" applyNumberFormat="1" applyFont="1" applyBorder="1"/>
    <xf numFmtId="0" fontId="2" fillId="0" borderId="18" xfId="0" applyFont="1" applyBorder="1"/>
    <xf numFmtId="10" fontId="0" fillId="0" borderId="17" xfId="0" applyNumberFormat="1" applyBorder="1"/>
    <xf numFmtId="0" fontId="2" fillId="0" borderId="3" xfId="0" applyFont="1" applyBorder="1"/>
    <xf numFmtId="10" fontId="0" fillId="0" borderId="19" xfId="0" applyNumberFormat="1" applyBorder="1"/>
    <xf numFmtId="165" fontId="0" fillId="0" borderId="2" xfId="1" applyNumberFormat="1" applyFont="1" applyBorder="1"/>
    <xf numFmtId="0" fontId="2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/>
  </cellXfs>
  <cellStyles count="3">
    <cellStyle name="Currency" xfId="1" builtinId="4"/>
    <cellStyle name="Normal" xfId="0" builtinId="0"/>
    <cellStyle name="Normal 2" xfId="2" xr:uid="{D090547D-316A-9947-AACE-A1E7D1D0D1AD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Returns: Diversified Portfolio vs AAPL (Jan–Jul 2016)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'Portfolio Performance'!$L$23</c:f>
              <c:strCache>
                <c:ptCount val="1"/>
                <c:pt idx="0">
                  <c:v>Portfolio Returns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'Portfolio Performance'!$K$24:$K$30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'Portfolio Performance'!$L$24:$L$30</c:f>
              <c:numCache>
                <c:formatCode>0.00%</c:formatCode>
                <c:ptCount val="7"/>
                <c:pt idx="0">
                  <c:v>-6.2107721561840603E-3</c:v>
                </c:pt>
                <c:pt idx="1">
                  <c:v>4.0955186510906261E-3</c:v>
                </c:pt>
                <c:pt idx="2">
                  <c:v>2.8245834894002043E-2</c:v>
                </c:pt>
                <c:pt idx="3">
                  <c:v>3.8999999999999998E-3</c:v>
                </c:pt>
                <c:pt idx="4">
                  <c:v>5.8912740587278925E-3</c:v>
                </c:pt>
                <c:pt idx="5">
                  <c:v>1.3998112757817593E-2</c:v>
                </c:pt>
                <c:pt idx="6">
                  <c:v>1.6242689490364698E-2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88-CD4F-B129-2057B2A7FFCA}"/>
            </c:ext>
          </c:extLst>
        </c:ser>
        <c:ser>
          <c:idx val="1"/>
          <c:order val="1"/>
          <c:tx>
            <c:strRef>
              <c:f>'Portfolio Performance'!$M$23</c:f>
              <c:strCache>
                <c:ptCount val="1"/>
                <c:pt idx="0">
                  <c:v>Apple Returns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'Portfolio Performance'!$K$24:$K$30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'Portfolio Performance'!$M$24:$M$30</c:f>
              <c:numCache>
                <c:formatCode>0.00%</c:formatCode>
                <c:ptCount val="7"/>
                <c:pt idx="0">
                  <c:v>-1.2875670505002644E-3</c:v>
                </c:pt>
                <c:pt idx="1">
                  <c:v>0.12721064490444062</c:v>
                </c:pt>
                <c:pt idx="2">
                  <c:v>-0.13992111007546301</c:v>
                </c:pt>
                <c:pt idx="3">
                  <c:v>7.1772927273714343E-2</c:v>
                </c:pt>
                <c:pt idx="4">
                  <c:v>-4.2659753227921537E-2</c:v>
                </c:pt>
                <c:pt idx="5">
                  <c:v>9.0062773850685618E-2</c:v>
                </c:pt>
                <c:pt idx="6">
                  <c:v>1.7656693385056144E-2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88-CD4F-B129-2057B2A7F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2667776"/>
        <c:axId val="492679872"/>
      </c:lineChart>
      <c:catAx>
        <c:axId val="4926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79872"/>
        <c:crosses val="autoZero"/>
        <c:auto val="1"/>
        <c:lblAlgn val="ctr"/>
        <c:lblOffset val="100"/>
        <c:noMultiLvlLbl val="0"/>
      </c:catAx>
      <c:valAx>
        <c:axId val="4926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66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604520</xdr:colOff>
      <xdr:row>9</xdr:row>
      <xdr:rowOff>111760</xdr:rowOff>
    </xdr:from>
    <xdr:to>
      <xdr:col>22</xdr:col>
      <xdr:colOff>457200</xdr:colOff>
      <xdr:row>28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39B1CA-148A-C836-9434-B94A3E033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zoomScale="150" zoomScaleNormal="150" workbookViewId="0">
      <selection activeCell="G18" sqref="G18"/>
    </sheetView>
  </sheetViews>
  <sheetFormatPr baseColWidth="10" defaultColWidth="8.83203125" defaultRowHeight="15" x14ac:dyDescent="0.2"/>
  <cols>
    <col min="1" max="1" width="13.6640625" style="1" bestFit="1" customWidth="1"/>
    <col min="2" max="3" width="8.83203125" style="2"/>
    <col min="6" max="6" width="12.33203125" bestFit="1" customWidth="1"/>
    <col min="8" max="8" width="15.1640625" customWidth="1"/>
    <col min="10" max="10" width="16.6640625" bestFit="1" customWidth="1"/>
    <col min="11" max="11" width="17.83203125" customWidth="1"/>
    <col min="12" max="12" width="13.6640625" bestFit="1" customWidth="1"/>
  </cols>
  <sheetData>
    <row r="1" spans="1:16" x14ac:dyDescent="0.2">
      <c r="E1" s="3" t="s">
        <v>0</v>
      </c>
    </row>
    <row r="2" spans="1:16" ht="16" thickBot="1" x14ac:dyDescent="0.25">
      <c r="A2" s="4" t="s">
        <v>1</v>
      </c>
      <c r="B2" s="5" t="s">
        <v>2</v>
      </c>
      <c r="C2" s="5" t="s">
        <v>3</v>
      </c>
      <c r="E2" s="4" t="s">
        <v>1</v>
      </c>
      <c r="F2" s="5" t="s">
        <v>2</v>
      </c>
      <c r="G2" s="5" t="s">
        <v>3</v>
      </c>
      <c r="H2" s="5"/>
    </row>
    <row r="3" spans="1:16" x14ac:dyDescent="0.2">
      <c r="A3" s="1">
        <v>40909</v>
      </c>
      <c r="B3" s="2">
        <v>0.88</v>
      </c>
      <c r="C3" s="2">
        <v>4.47</v>
      </c>
      <c r="E3" s="1">
        <v>40909</v>
      </c>
      <c r="F3">
        <f>B3/100</f>
        <v>8.8000000000000005E-3</v>
      </c>
      <c r="G3">
        <f>C3/100</f>
        <v>4.4699999999999997E-2</v>
      </c>
      <c r="J3" s="21"/>
      <c r="K3" s="17" t="s">
        <v>2</v>
      </c>
      <c r="L3" s="16" t="s">
        <v>3</v>
      </c>
    </row>
    <row r="4" spans="1:16" x14ac:dyDescent="0.2">
      <c r="A4" s="1">
        <v>40940</v>
      </c>
      <c r="B4" s="2">
        <v>-0.04</v>
      </c>
      <c r="C4" s="2">
        <v>4.32</v>
      </c>
      <c r="E4" s="1">
        <v>40940</v>
      </c>
      <c r="F4">
        <f t="shared" ref="F4:G57" si="0">B4/100</f>
        <v>-4.0000000000000002E-4</v>
      </c>
      <c r="G4">
        <f t="shared" si="0"/>
        <v>4.3200000000000002E-2</v>
      </c>
      <c r="J4" s="22" t="s">
        <v>27</v>
      </c>
      <c r="K4" s="25">
        <v>0.6784590927272377</v>
      </c>
      <c r="L4" s="18">
        <v>0.3215409072727623</v>
      </c>
      <c r="N4">
        <f>SUM(K4:L4)</f>
        <v>1</v>
      </c>
      <c r="P4">
        <v>1</v>
      </c>
    </row>
    <row r="5" spans="1:16" x14ac:dyDescent="0.2">
      <c r="A5" s="1">
        <v>40969</v>
      </c>
      <c r="B5" s="2">
        <v>-0.56999999999999995</v>
      </c>
      <c r="C5" s="2">
        <v>3.29</v>
      </c>
      <c r="E5" s="1">
        <v>40969</v>
      </c>
      <c r="F5">
        <f t="shared" si="0"/>
        <v>-5.6999999999999993E-3</v>
      </c>
      <c r="G5">
        <f t="shared" si="0"/>
        <v>3.2899999999999999E-2</v>
      </c>
      <c r="J5" s="23" t="s">
        <v>28</v>
      </c>
      <c r="K5" s="26">
        <f>(K4^2*F53)+(L4^2*G53)+(2*K4*L4*F54)</f>
        <v>1.1715491170662123E-4</v>
      </c>
      <c r="L5" s="19"/>
    </row>
    <row r="6" spans="1:16" x14ac:dyDescent="0.2">
      <c r="A6" s="1">
        <v>41000</v>
      </c>
      <c r="B6" s="2">
        <v>1.1499999999999999</v>
      </c>
      <c r="C6" s="2">
        <v>-0.63</v>
      </c>
      <c r="E6" s="1">
        <v>41000</v>
      </c>
      <c r="F6">
        <f t="shared" si="0"/>
        <v>1.15E-2</v>
      </c>
      <c r="G6">
        <f t="shared" si="0"/>
        <v>-6.3E-3</v>
      </c>
      <c r="J6" s="23" t="s">
        <v>29</v>
      </c>
      <c r="K6" s="26">
        <f>(K4*F51)+(L4*G51)</f>
        <v>5.1366158518034027E-3</v>
      </c>
      <c r="L6" s="19"/>
    </row>
    <row r="7" spans="1:16" x14ac:dyDescent="0.2">
      <c r="A7" s="1">
        <v>41030</v>
      </c>
      <c r="B7" s="2">
        <v>0.96</v>
      </c>
      <c r="C7" s="2">
        <v>-6.01</v>
      </c>
      <c r="E7" s="1">
        <v>41030</v>
      </c>
      <c r="F7">
        <f t="shared" si="0"/>
        <v>9.5999999999999992E-3</v>
      </c>
      <c r="G7">
        <f t="shared" si="0"/>
        <v>-6.0100000000000001E-2</v>
      </c>
      <c r="J7" s="23" t="s">
        <v>30</v>
      </c>
      <c r="K7" s="26">
        <f>SQRT(K5)</f>
        <v>1.0823812253851284E-2</v>
      </c>
      <c r="L7" s="19"/>
    </row>
    <row r="8" spans="1:16" x14ac:dyDescent="0.2">
      <c r="A8" s="1">
        <v>41061</v>
      </c>
      <c r="B8" s="2">
        <v>0.04</v>
      </c>
      <c r="C8" s="2">
        <v>4.12</v>
      </c>
      <c r="E8" s="1">
        <v>41061</v>
      </c>
      <c r="F8">
        <f t="shared" si="0"/>
        <v>4.0000000000000002E-4</v>
      </c>
      <c r="G8">
        <f t="shared" si="0"/>
        <v>4.1200000000000001E-2</v>
      </c>
      <c r="J8" s="23" t="s">
        <v>31</v>
      </c>
      <c r="K8" s="26">
        <f>(K6-0)/K7</f>
        <v>0.47456623704607526</v>
      </c>
      <c r="L8" s="19"/>
    </row>
    <row r="9" spans="1:16" ht="16" thickBot="1" x14ac:dyDescent="0.25">
      <c r="A9" s="1">
        <v>41091</v>
      </c>
      <c r="B9" s="2">
        <v>1.39</v>
      </c>
      <c r="C9" s="2">
        <v>1.38</v>
      </c>
      <c r="E9" s="1">
        <v>41091</v>
      </c>
      <c r="F9">
        <f t="shared" si="0"/>
        <v>1.3899999999999999E-2</v>
      </c>
      <c r="G9">
        <f t="shared" si="0"/>
        <v>1.38E-2</v>
      </c>
      <c r="J9" s="24" t="s">
        <v>32</v>
      </c>
      <c r="K9" s="27">
        <f>K4*5000000</f>
        <v>3392295.4636361883</v>
      </c>
      <c r="L9" s="20">
        <f>L4*5000000</f>
        <v>1607704.5363638115</v>
      </c>
    </row>
    <row r="10" spans="1:16" x14ac:dyDescent="0.2">
      <c r="A10" s="1">
        <v>41122</v>
      </c>
      <c r="B10" s="2">
        <v>0.04</v>
      </c>
      <c r="C10" s="2">
        <v>2.25</v>
      </c>
      <c r="E10" s="1">
        <v>41122</v>
      </c>
      <c r="F10">
        <f t="shared" si="0"/>
        <v>4.0000000000000002E-4</v>
      </c>
      <c r="G10">
        <f t="shared" si="0"/>
        <v>2.2499999999999999E-2</v>
      </c>
    </row>
    <row r="11" spans="1:16" x14ac:dyDescent="0.2">
      <c r="A11" s="1">
        <v>41153</v>
      </c>
      <c r="B11" s="2">
        <v>0.12</v>
      </c>
      <c r="C11" s="2">
        <v>2.58</v>
      </c>
      <c r="E11" s="1">
        <v>41153</v>
      </c>
      <c r="F11">
        <f t="shared" si="0"/>
        <v>1.1999999999999999E-3</v>
      </c>
      <c r="G11">
        <f t="shared" si="0"/>
        <v>2.58E-2</v>
      </c>
    </row>
    <row r="12" spans="1:16" x14ac:dyDescent="0.2">
      <c r="A12" s="1">
        <v>41183</v>
      </c>
      <c r="B12" s="2">
        <v>0.12</v>
      </c>
      <c r="C12" s="2">
        <v>-1.85</v>
      </c>
      <c r="E12" s="1">
        <v>41183</v>
      </c>
      <c r="F12">
        <f t="shared" si="0"/>
        <v>1.1999999999999999E-3</v>
      </c>
      <c r="G12">
        <f t="shared" si="0"/>
        <v>-1.8500000000000003E-2</v>
      </c>
    </row>
    <row r="13" spans="1:16" ht="16" thickBot="1" x14ac:dyDescent="0.25">
      <c r="A13" s="1">
        <v>41214</v>
      </c>
      <c r="B13" s="2">
        <v>0.2</v>
      </c>
      <c r="C13" s="2">
        <v>0.57999999999999996</v>
      </c>
      <c r="E13" s="1">
        <v>41214</v>
      </c>
      <c r="F13">
        <f t="shared" si="0"/>
        <v>2E-3</v>
      </c>
      <c r="G13">
        <f t="shared" si="0"/>
        <v>5.7999999999999996E-3</v>
      </c>
    </row>
    <row r="14" spans="1:16" ht="16" thickBot="1" x14ac:dyDescent="0.25">
      <c r="A14" s="1">
        <v>41244</v>
      </c>
      <c r="B14" s="2">
        <v>-0.19</v>
      </c>
      <c r="C14" s="2">
        <v>0.91</v>
      </c>
      <c r="E14" s="1">
        <v>41244</v>
      </c>
      <c r="F14">
        <f t="shared" si="0"/>
        <v>-1.9E-3</v>
      </c>
      <c r="G14">
        <f t="shared" si="0"/>
        <v>9.1000000000000004E-3</v>
      </c>
      <c r="J14" s="29"/>
      <c r="K14" s="31" t="s">
        <v>27</v>
      </c>
      <c r="L14" s="28" t="s">
        <v>44</v>
      </c>
    </row>
    <row r="15" spans="1:16" x14ac:dyDescent="0.2">
      <c r="A15" s="1">
        <v>41275</v>
      </c>
      <c r="B15" s="2">
        <v>-0.7</v>
      </c>
      <c r="C15" s="2">
        <v>5.18</v>
      </c>
      <c r="E15" s="1">
        <v>41275</v>
      </c>
      <c r="F15">
        <f t="shared" si="0"/>
        <v>-6.9999999999999993E-3</v>
      </c>
      <c r="G15">
        <f t="shared" si="0"/>
        <v>5.1799999999999999E-2</v>
      </c>
      <c r="J15" s="29" t="s">
        <v>45</v>
      </c>
      <c r="K15" s="32">
        <v>0.6784590927272377</v>
      </c>
      <c r="L15" s="30">
        <v>3392295.4636361883</v>
      </c>
    </row>
    <row r="16" spans="1:16" ht="16" thickBot="1" x14ac:dyDescent="0.25">
      <c r="A16" s="1">
        <v>41306</v>
      </c>
      <c r="B16" s="2">
        <v>0.55000000000000004</v>
      </c>
      <c r="C16" s="2">
        <v>1.35</v>
      </c>
      <c r="E16" s="1">
        <v>41306</v>
      </c>
      <c r="F16">
        <f t="shared" si="0"/>
        <v>5.5000000000000005E-3</v>
      </c>
      <c r="G16">
        <f t="shared" si="0"/>
        <v>1.3500000000000002E-2</v>
      </c>
      <c r="J16" s="33" t="s">
        <v>46</v>
      </c>
      <c r="K16" s="34">
        <v>0.3215409072727623</v>
      </c>
      <c r="L16" s="35">
        <v>1607704.5363638115</v>
      </c>
    </row>
    <row r="17" spans="1:20" ht="16" thickTop="1" x14ac:dyDescent="0.2">
      <c r="A17" s="1">
        <v>41334</v>
      </c>
      <c r="B17" s="2">
        <v>0.09</v>
      </c>
      <c r="C17" s="2">
        <v>3.75</v>
      </c>
      <c r="E17" s="1">
        <v>41334</v>
      </c>
      <c r="F17">
        <f t="shared" si="0"/>
        <v>8.9999999999999998E-4</v>
      </c>
      <c r="G17">
        <f t="shared" si="0"/>
        <v>3.7499999999999999E-2</v>
      </c>
    </row>
    <row r="18" spans="1:20" x14ac:dyDescent="0.2">
      <c r="A18" s="1">
        <v>41365</v>
      </c>
      <c r="B18" s="2">
        <v>0.92</v>
      </c>
      <c r="C18" s="2">
        <v>1.92</v>
      </c>
      <c r="E18" s="1">
        <v>41365</v>
      </c>
      <c r="F18">
        <f t="shared" si="0"/>
        <v>9.1999999999999998E-3</v>
      </c>
      <c r="G18">
        <f t="shared" si="0"/>
        <v>1.9199999999999998E-2</v>
      </c>
    </row>
    <row r="19" spans="1:20" x14ac:dyDescent="0.2">
      <c r="A19" s="1">
        <v>41395</v>
      </c>
      <c r="B19" s="2">
        <v>-1.7</v>
      </c>
      <c r="C19" s="2">
        <v>2.33</v>
      </c>
      <c r="E19" s="1">
        <v>41395</v>
      </c>
      <c r="F19">
        <f t="shared" si="0"/>
        <v>-1.7000000000000001E-2</v>
      </c>
      <c r="G19">
        <f t="shared" si="0"/>
        <v>2.3300000000000001E-2</v>
      </c>
      <c r="M19" t="s">
        <v>48</v>
      </c>
    </row>
    <row r="20" spans="1:20" x14ac:dyDescent="0.2">
      <c r="A20" s="1">
        <v>41426</v>
      </c>
      <c r="B20" s="2">
        <v>-1.64</v>
      </c>
      <c r="C20" s="2">
        <v>-1.35</v>
      </c>
      <c r="E20" s="1">
        <v>41426</v>
      </c>
      <c r="F20">
        <f t="shared" si="0"/>
        <v>-1.6399999999999998E-2</v>
      </c>
      <c r="G20">
        <f t="shared" si="0"/>
        <v>-1.3500000000000002E-2</v>
      </c>
      <c r="M20">
        <v>1.0823812253851284E-2</v>
      </c>
    </row>
    <row r="21" spans="1:20" x14ac:dyDescent="0.2">
      <c r="A21" s="1">
        <v>41456</v>
      </c>
      <c r="B21" s="2">
        <v>0.21</v>
      </c>
      <c r="C21" s="2">
        <v>5.09</v>
      </c>
      <c r="E21" s="1">
        <v>41456</v>
      </c>
      <c r="F21">
        <f t="shared" si="0"/>
        <v>2.0999999999999999E-3</v>
      </c>
      <c r="G21">
        <f t="shared" si="0"/>
        <v>5.0900000000000001E-2</v>
      </c>
    </row>
    <row r="22" spans="1:20" x14ac:dyDescent="0.2">
      <c r="A22" s="1">
        <v>41487</v>
      </c>
      <c r="B22" s="2">
        <v>-0.63</v>
      </c>
      <c r="C22" s="2">
        <v>-2.9</v>
      </c>
      <c r="E22" s="1">
        <v>41487</v>
      </c>
      <c r="F22">
        <f t="shared" si="0"/>
        <v>-6.3E-3</v>
      </c>
      <c r="G22">
        <f t="shared" si="0"/>
        <v>-2.8999999999999998E-2</v>
      </c>
      <c r="N22" s="1"/>
      <c r="O22" s="2"/>
      <c r="P22" s="2"/>
      <c r="R22" s="3" t="s">
        <v>0</v>
      </c>
    </row>
    <row r="23" spans="1:20" x14ac:dyDescent="0.2">
      <c r="A23" s="1">
        <v>41518</v>
      </c>
      <c r="B23" s="2">
        <v>0.97</v>
      </c>
      <c r="C23" s="2">
        <v>3.13</v>
      </c>
      <c r="E23" s="1">
        <v>41518</v>
      </c>
      <c r="F23">
        <f t="shared" si="0"/>
        <v>9.7000000000000003E-3</v>
      </c>
      <c r="G23">
        <f t="shared" si="0"/>
        <v>3.1300000000000001E-2</v>
      </c>
      <c r="N23" s="4" t="s">
        <v>1</v>
      </c>
      <c r="O23" s="5" t="s">
        <v>2</v>
      </c>
      <c r="P23" s="5" t="s">
        <v>3</v>
      </c>
      <c r="R23" s="4" t="s">
        <v>1</v>
      </c>
      <c r="S23" s="5" t="s">
        <v>2</v>
      </c>
      <c r="T23" s="5" t="s">
        <v>3</v>
      </c>
    </row>
    <row r="24" spans="1:20" x14ac:dyDescent="0.2">
      <c r="A24" s="1">
        <v>41548</v>
      </c>
      <c r="B24" s="2">
        <v>0.79</v>
      </c>
      <c r="C24" s="2">
        <v>4.59</v>
      </c>
      <c r="E24" s="1">
        <v>41548</v>
      </c>
      <c r="F24">
        <f t="shared" si="0"/>
        <v>7.9000000000000008E-3</v>
      </c>
      <c r="G24">
        <f t="shared" si="0"/>
        <v>4.5899999999999996E-2</v>
      </c>
      <c r="N24">
        <v>42370</v>
      </c>
      <c r="O24">
        <v>1.44</v>
      </c>
      <c r="P24">
        <v>-4.97</v>
      </c>
      <c r="R24">
        <v>42370</v>
      </c>
      <c r="S24">
        <v>1.44E-2</v>
      </c>
      <c r="T24">
        <v>-4.9699999999999994E-2</v>
      </c>
    </row>
    <row r="25" spans="1:20" x14ac:dyDescent="0.2">
      <c r="A25" s="1">
        <v>41579</v>
      </c>
      <c r="B25" s="2">
        <v>-0.34</v>
      </c>
      <c r="C25" s="2">
        <v>3.04</v>
      </c>
      <c r="E25" s="1">
        <v>41579</v>
      </c>
      <c r="F25">
        <f t="shared" si="0"/>
        <v>-3.4000000000000002E-3</v>
      </c>
      <c r="G25">
        <f t="shared" si="0"/>
        <v>3.04E-2</v>
      </c>
      <c r="N25">
        <v>42401</v>
      </c>
      <c r="O25">
        <v>0.67</v>
      </c>
      <c r="P25">
        <v>-0.14000000000000001</v>
      </c>
      <c r="R25">
        <v>42401</v>
      </c>
      <c r="S25">
        <v>6.7000000000000002E-3</v>
      </c>
      <c r="T25">
        <v>-1.4000000000000002E-3</v>
      </c>
    </row>
    <row r="26" spans="1:20" x14ac:dyDescent="0.2">
      <c r="A26" s="1">
        <v>41609</v>
      </c>
      <c r="B26" s="2">
        <v>-0.64</v>
      </c>
      <c r="C26" s="2">
        <v>2.5299999999999998</v>
      </c>
      <c r="E26" s="1">
        <v>41609</v>
      </c>
      <c r="F26">
        <f t="shared" si="0"/>
        <v>-6.4000000000000003E-3</v>
      </c>
      <c r="G26">
        <f t="shared" si="0"/>
        <v>2.53E-2</v>
      </c>
      <c r="N26">
        <v>42430</v>
      </c>
      <c r="O26">
        <v>0.95</v>
      </c>
      <c r="P26">
        <v>6.78</v>
      </c>
      <c r="R26">
        <v>42430</v>
      </c>
      <c r="S26">
        <v>9.4999999999999998E-3</v>
      </c>
      <c r="T26">
        <v>6.7799999999999999E-2</v>
      </c>
    </row>
    <row r="27" spans="1:20" x14ac:dyDescent="0.2">
      <c r="A27" s="1">
        <v>41640</v>
      </c>
      <c r="B27" s="2">
        <v>1.55</v>
      </c>
      <c r="C27" s="2">
        <v>-3.46</v>
      </c>
      <c r="E27" s="1">
        <v>41640</v>
      </c>
      <c r="F27">
        <f t="shared" si="0"/>
        <v>1.55E-2</v>
      </c>
      <c r="G27">
        <f t="shared" si="0"/>
        <v>-3.4599999999999999E-2</v>
      </c>
      <c r="N27">
        <v>42461</v>
      </c>
      <c r="O27">
        <v>0.39</v>
      </c>
      <c r="P27">
        <v>0.39</v>
      </c>
      <c r="R27">
        <v>42461</v>
      </c>
      <c r="S27">
        <v>3.9000000000000003E-3</v>
      </c>
      <c r="T27">
        <v>3.9000000000000003E-3</v>
      </c>
    </row>
    <row r="28" spans="1:20" x14ac:dyDescent="0.2">
      <c r="A28" s="1">
        <v>41671</v>
      </c>
      <c r="B28" s="2">
        <v>0.49</v>
      </c>
      <c r="C28" s="2">
        <v>4.57</v>
      </c>
      <c r="E28" s="1">
        <v>41671</v>
      </c>
      <c r="F28">
        <f t="shared" si="0"/>
        <v>4.8999999999999998E-3</v>
      </c>
      <c r="G28">
        <f t="shared" si="0"/>
        <v>4.5700000000000005E-2</v>
      </c>
      <c r="N28">
        <v>42491</v>
      </c>
      <c r="O28">
        <v>0.02</v>
      </c>
      <c r="P28">
        <v>1.79</v>
      </c>
      <c r="R28">
        <v>42491</v>
      </c>
      <c r="S28">
        <v>2.0000000000000001E-4</v>
      </c>
      <c r="T28">
        <v>1.7899999999999999E-2</v>
      </c>
    </row>
    <row r="29" spans="1:20" x14ac:dyDescent="0.2">
      <c r="A29" s="1">
        <v>41699</v>
      </c>
      <c r="B29" s="2">
        <v>-0.14000000000000001</v>
      </c>
      <c r="C29" s="2">
        <v>0.84</v>
      </c>
      <c r="E29" s="1">
        <v>41699</v>
      </c>
      <c r="F29">
        <f t="shared" si="0"/>
        <v>-1.4000000000000002E-3</v>
      </c>
      <c r="G29">
        <f t="shared" si="0"/>
        <v>8.3999999999999995E-3</v>
      </c>
      <c r="N29">
        <v>42522</v>
      </c>
      <c r="O29">
        <v>1.94</v>
      </c>
      <c r="P29">
        <v>0.26</v>
      </c>
      <c r="R29">
        <v>42522</v>
      </c>
      <c r="S29">
        <v>1.9400000000000001E-2</v>
      </c>
      <c r="T29">
        <v>2.5999999999999999E-3</v>
      </c>
    </row>
    <row r="30" spans="1:20" x14ac:dyDescent="0.2">
      <c r="A30" s="1">
        <v>41730</v>
      </c>
      <c r="B30" s="2">
        <v>0.78</v>
      </c>
      <c r="C30" s="2">
        <v>0.74</v>
      </c>
      <c r="E30" s="1">
        <v>41730</v>
      </c>
      <c r="F30">
        <f t="shared" si="0"/>
        <v>7.8000000000000005E-3</v>
      </c>
      <c r="G30">
        <f t="shared" si="0"/>
        <v>7.4000000000000003E-3</v>
      </c>
      <c r="N30">
        <v>42552</v>
      </c>
      <c r="O30">
        <v>0.65</v>
      </c>
      <c r="P30">
        <v>3.68</v>
      </c>
      <c r="R30">
        <v>42552</v>
      </c>
      <c r="S30">
        <v>6.5000000000000006E-3</v>
      </c>
      <c r="T30">
        <v>3.6799999999999999E-2</v>
      </c>
    </row>
    <row r="31" spans="1:20" x14ac:dyDescent="0.2">
      <c r="A31" s="1">
        <v>41760</v>
      </c>
      <c r="B31" s="2">
        <v>1.06</v>
      </c>
      <c r="C31" s="2">
        <v>2.34</v>
      </c>
      <c r="E31" s="1">
        <v>41760</v>
      </c>
      <c r="F31">
        <f t="shared" si="0"/>
        <v>1.06E-2</v>
      </c>
      <c r="G31">
        <f t="shared" si="0"/>
        <v>2.3399999999999997E-2</v>
      </c>
    </row>
    <row r="32" spans="1:20" x14ac:dyDescent="0.2">
      <c r="A32" s="1">
        <v>41791</v>
      </c>
      <c r="B32" s="2">
        <v>0.12</v>
      </c>
      <c r="C32" s="2">
        <v>2.06</v>
      </c>
      <c r="E32" s="1">
        <v>41791</v>
      </c>
      <c r="F32">
        <f t="shared" si="0"/>
        <v>1.1999999999999999E-3</v>
      </c>
      <c r="G32">
        <f t="shared" si="0"/>
        <v>2.06E-2</v>
      </c>
    </row>
    <row r="33" spans="1:7" x14ac:dyDescent="0.2">
      <c r="A33" s="1">
        <v>41821</v>
      </c>
      <c r="B33" s="2">
        <v>-0.25</v>
      </c>
      <c r="C33" s="2">
        <v>-1.38</v>
      </c>
      <c r="E33" s="1">
        <v>41821</v>
      </c>
      <c r="F33">
        <f t="shared" si="0"/>
        <v>-2.5000000000000001E-3</v>
      </c>
      <c r="G33">
        <f t="shared" si="0"/>
        <v>-1.38E-2</v>
      </c>
    </row>
    <row r="34" spans="1:7" x14ac:dyDescent="0.2">
      <c r="A34" s="1">
        <v>41852</v>
      </c>
      <c r="B34" s="2">
        <v>1.1399999999999999</v>
      </c>
      <c r="C34" s="2">
        <v>4</v>
      </c>
      <c r="E34" s="1">
        <v>41852</v>
      </c>
      <c r="F34">
        <f t="shared" si="0"/>
        <v>1.1399999999999999E-2</v>
      </c>
      <c r="G34">
        <f t="shared" si="0"/>
        <v>0.04</v>
      </c>
    </row>
    <row r="35" spans="1:7" x14ac:dyDescent="0.2">
      <c r="A35" s="1">
        <v>41883</v>
      </c>
      <c r="B35" s="2">
        <v>-0.71</v>
      </c>
      <c r="C35" s="2">
        <v>-1.4</v>
      </c>
      <c r="E35" s="1">
        <v>41883</v>
      </c>
      <c r="F35">
        <f t="shared" si="0"/>
        <v>-7.0999999999999995E-3</v>
      </c>
      <c r="G35">
        <f t="shared" si="0"/>
        <v>-1.3999999999999999E-2</v>
      </c>
    </row>
    <row r="36" spans="1:7" x14ac:dyDescent="0.2">
      <c r="A36" s="1">
        <v>41913</v>
      </c>
      <c r="B36" s="2">
        <v>0.95</v>
      </c>
      <c r="C36" s="2">
        <v>2.4300000000000002</v>
      </c>
      <c r="E36" s="1">
        <v>41913</v>
      </c>
      <c r="F36">
        <f t="shared" si="0"/>
        <v>9.4999999999999998E-3</v>
      </c>
      <c r="G36">
        <f t="shared" si="0"/>
        <v>2.4300000000000002E-2</v>
      </c>
    </row>
    <row r="37" spans="1:7" x14ac:dyDescent="0.2">
      <c r="A37" s="1">
        <v>41944</v>
      </c>
      <c r="B37" s="2">
        <v>0.66</v>
      </c>
      <c r="C37" s="2">
        <v>2.69</v>
      </c>
      <c r="E37" s="1">
        <v>41944</v>
      </c>
      <c r="F37">
        <f t="shared" si="0"/>
        <v>6.6E-3</v>
      </c>
      <c r="G37">
        <f t="shared" si="0"/>
        <v>2.69E-2</v>
      </c>
    </row>
    <row r="38" spans="1:7" x14ac:dyDescent="0.2">
      <c r="A38" s="1">
        <v>41974</v>
      </c>
      <c r="B38" s="2">
        <v>0.1</v>
      </c>
      <c r="C38" s="2">
        <v>-0.26</v>
      </c>
      <c r="E38" s="1">
        <v>41974</v>
      </c>
      <c r="F38">
        <f t="shared" si="0"/>
        <v>1E-3</v>
      </c>
      <c r="G38">
        <f t="shared" si="0"/>
        <v>-2.5999999999999999E-3</v>
      </c>
    </row>
    <row r="39" spans="1:7" x14ac:dyDescent="0.2">
      <c r="A39" s="1">
        <v>42005</v>
      </c>
      <c r="B39" s="2">
        <v>2.3199999999999998</v>
      </c>
      <c r="C39" s="2">
        <v>-3</v>
      </c>
      <c r="E39" s="1">
        <v>42005</v>
      </c>
      <c r="F39">
        <f t="shared" si="0"/>
        <v>2.3199999999999998E-2</v>
      </c>
      <c r="G39">
        <f t="shared" si="0"/>
        <v>-0.03</v>
      </c>
    </row>
    <row r="40" spans="1:7" x14ac:dyDescent="0.2">
      <c r="A40" s="1">
        <v>42036</v>
      </c>
      <c r="B40" s="2">
        <v>-1.07</v>
      </c>
      <c r="C40" s="2">
        <v>5.74</v>
      </c>
      <c r="E40" s="1">
        <v>42036</v>
      </c>
      <c r="F40">
        <f t="shared" si="0"/>
        <v>-1.0700000000000001E-2</v>
      </c>
      <c r="G40">
        <f t="shared" si="0"/>
        <v>5.74E-2</v>
      </c>
    </row>
    <row r="41" spans="1:7" x14ac:dyDescent="0.2">
      <c r="A41" s="1">
        <v>42064</v>
      </c>
      <c r="B41" s="2">
        <v>0.42</v>
      </c>
      <c r="C41" s="2">
        <v>-1.59</v>
      </c>
      <c r="E41" s="1">
        <v>42064</v>
      </c>
      <c r="F41">
        <f t="shared" si="0"/>
        <v>4.1999999999999997E-3</v>
      </c>
      <c r="G41">
        <f t="shared" si="0"/>
        <v>-1.5900000000000001E-2</v>
      </c>
    </row>
    <row r="42" spans="1:7" x14ac:dyDescent="0.2">
      <c r="A42" s="1">
        <v>42095</v>
      </c>
      <c r="B42" s="2">
        <v>-0.35</v>
      </c>
      <c r="C42" s="2">
        <v>0.95</v>
      </c>
      <c r="E42" s="1">
        <v>42095</v>
      </c>
      <c r="F42">
        <f t="shared" si="0"/>
        <v>-3.4999999999999996E-3</v>
      </c>
      <c r="G42">
        <f t="shared" si="0"/>
        <v>9.4999999999999998E-3</v>
      </c>
    </row>
    <row r="43" spans="1:7" x14ac:dyDescent="0.2">
      <c r="A43" s="1">
        <v>42125</v>
      </c>
      <c r="B43" s="2">
        <v>-0.44</v>
      </c>
      <c r="C43" s="2">
        <v>1.28</v>
      </c>
      <c r="E43" s="1">
        <v>42125</v>
      </c>
      <c r="F43">
        <f t="shared" si="0"/>
        <v>-4.4000000000000003E-3</v>
      </c>
      <c r="G43">
        <f t="shared" si="0"/>
        <v>1.2800000000000001E-2</v>
      </c>
    </row>
    <row r="44" spans="1:7" x14ac:dyDescent="0.2">
      <c r="A44" s="1">
        <v>42156</v>
      </c>
      <c r="B44" s="2">
        <v>-1</v>
      </c>
      <c r="C44" s="2">
        <v>-1.92</v>
      </c>
      <c r="E44" s="1">
        <v>42156</v>
      </c>
      <c r="F44">
        <f t="shared" si="0"/>
        <v>-0.01</v>
      </c>
      <c r="G44">
        <f t="shared" si="0"/>
        <v>-1.9199999999999998E-2</v>
      </c>
    </row>
    <row r="45" spans="1:7" x14ac:dyDescent="0.2">
      <c r="A45" s="1">
        <v>42186</v>
      </c>
      <c r="B45" s="2">
        <v>0.77</v>
      </c>
      <c r="C45" s="2">
        <v>2.09</v>
      </c>
      <c r="E45" s="1">
        <v>42186</v>
      </c>
      <c r="F45">
        <f t="shared" si="0"/>
        <v>7.7000000000000002E-3</v>
      </c>
      <c r="G45">
        <f t="shared" si="0"/>
        <v>2.0899999999999998E-2</v>
      </c>
    </row>
    <row r="46" spans="1:7" x14ac:dyDescent="0.2">
      <c r="A46" s="1">
        <v>42217</v>
      </c>
      <c r="B46" s="2">
        <v>-0.35</v>
      </c>
      <c r="C46" s="2">
        <v>-6.04</v>
      </c>
      <c r="E46" s="1">
        <v>42217</v>
      </c>
      <c r="F46">
        <f t="shared" si="0"/>
        <v>-3.4999999999999996E-3</v>
      </c>
      <c r="G46">
        <f t="shared" si="0"/>
        <v>-6.0400000000000002E-2</v>
      </c>
    </row>
    <row r="47" spans="1:7" x14ac:dyDescent="0.2">
      <c r="A47" s="1">
        <v>42248</v>
      </c>
      <c r="B47" s="2">
        <v>0.76</v>
      </c>
      <c r="C47" s="2">
        <v>-2.48</v>
      </c>
      <c r="E47" s="1">
        <v>42248</v>
      </c>
      <c r="F47">
        <f t="shared" si="0"/>
        <v>7.6E-3</v>
      </c>
      <c r="G47">
        <f t="shared" si="0"/>
        <v>-2.4799999999999999E-2</v>
      </c>
    </row>
    <row r="48" spans="1:7" x14ac:dyDescent="0.2">
      <c r="A48" s="1">
        <v>42278</v>
      </c>
      <c r="B48" s="2">
        <v>0.02</v>
      </c>
      <c r="C48" s="2">
        <v>8.43</v>
      </c>
      <c r="E48" s="1">
        <v>42278</v>
      </c>
      <c r="F48">
        <f t="shared" si="0"/>
        <v>2.0000000000000001E-4</v>
      </c>
      <c r="G48">
        <f t="shared" si="0"/>
        <v>8.43E-2</v>
      </c>
    </row>
    <row r="49" spans="1:7" x14ac:dyDescent="0.2">
      <c r="A49" s="1">
        <v>42309</v>
      </c>
      <c r="B49" s="2">
        <v>-0.26</v>
      </c>
      <c r="C49" s="2">
        <v>0.3</v>
      </c>
      <c r="E49" s="1">
        <v>42309</v>
      </c>
      <c r="F49">
        <f t="shared" si="0"/>
        <v>-2.5999999999999999E-3</v>
      </c>
      <c r="G49">
        <f t="shared" si="0"/>
        <v>3.0000000000000001E-3</v>
      </c>
    </row>
    <row r="50" spans="1:7" x14ac:dyDescent="0.2">
      <c r="A50" s="1">
        <v>42339</v>
      </c>
      <c r="B50" s="2">
        <v>-0.37</v>
      </c>
      <c r="C50" s="2">
        <v>-1.58</v>
      </c>
      <c r="E50" s="1">
        <v>42339</v>
      </c>
      <c r="F50">
        <f t="shared" si="0"/>
        <v>-3.7000000000000002E-3</v>
      </c>
      <c r="G50">
        <f t="shared" si="0"/>
        <v>-1.5800000000000002E-2</v>
      </c>
    </row>
    <row r="51" spans="1:7" x14ac:dyDescent="0.2">
      <c r="E51" s="1" t="s">
        <v>23</v>
      </c>
      <c r="F51">
        <f>AVERAGE(F3:F50)</f>
        <v>1.7041666666666663E-3</v>
      </c>
      <c r="G51">
        <f>AVERAGE(G3:G50)</f>
        <v>1.2379166666666663E-2</v>
      </c>
    </row>
    <row r="52" spans="1:7" x14ac:dyDescent="0.2">
      <c r="E52" s="1" t="s">
        <v>24</v>
      </c>
      <c r="F52">
        <f>STDEV(F3:F50)</f>
        <v>8.1069436571986203E-3</v>
      </c>
      <c r="G52">
        <f>STDEV(G3:G50)</f>
        <v>3.0259487405013729E-2</v>
      </c>
    </row>
    <row r="53" spans="1:7" x14ac:dyDescent="0.2">
      <c r="E53" s="1" t="s">
        <v>25</v>
      </c>
      <c r="F53">
        <f>F52^2</f>
        <v>6.5722535460992947E-5</v>
      </c>
      <c r="G53">
        <f>G52^2</f>
        <v>9.1563657801418453E-4</v>
      </c>
    </row>
    <row r="54" spans="1:7" x14ac:dyDescent="0.2">
      <c r="E54" s="1" t="s">
        <v>26</v>
      </c>
      <c r="F54">
        <f>_xlfn.COVARIANCE.S(F3:F50,G3:G50)</f>
        <v>-1.7794804964539008E-5</v>
      </c>
    </row>
    <row r="55" spans="1:7" x14ac:dyDescent="0.2">
      <c r="E55" s="1"/>
    </row>
    <row r="56" spans="1:7" x14ac:dyDescent="0.2">
      <c r="E56" s="1"/>
    </row>
    <row r="57" spans="1:7" x14ac:dyDescent="0.2">
      <c r="E5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BE19-F7A5-0E46-B401-2FEB4E80DCF4}">
  <dimension ref="A1:W30"/>
  <sheetViews>
    <sheetView topLeftCell="I1" zoomScale="125" zoomScaleNormal="125" workbookViewId="0">
      <selection activeCell="N15" sqref="N15"/>
    </sheetView>
  </sheetViews>
  <sheetFormatPr baseColWidth="10" defaultColWidth="8.83203125" defaultRowHeight="15" x14ac:dyDescent="0.2"/>
  <cols>
    <col min="1" max="1" width="13.6640625" style="1" bestFit="1" customWidth="1"/>
    <col min="2" max="3" width="8.83203125" style="2"/>
    <col min="7" max="7" width="13.5" customWidth="1"/>
    <col min="8" max="8" width="25" customWidth="1"/>
    <col min="12" max="12" width="14.1640625" bestFit="1" customWidth="1"/>
    <col min="13" max="13" width="11.6640625" bestFit="1" customWidth="1"/>
    <col min="15" max="15" width="16.1640625" customWidth="1"/>
    <col min="20" max="20" width="20.6640625" bestFit="1" customWidth="1"/>
    <col min="21" max="21" width="16" bestFit="1" customWidth="1"/>
    <col min="22" max="22" width="2" customWidth="1"/>
  </cols>
  <sheetData>
    <row r="1" spans="1:23" x14ac:dyDescent="0.2">
      <c r="E1" s="3" t="s">
        <v>0</v>
      </c>
    </row>
    <row r="2" spans="1:23" ht="16" x14ac:dyDescent="0.2">
      <c r="A2" s="4" t="s">
        <v>1</v>
      </c>
      <c r="B2" s="5" t="s">
        <v>2</v>
      </c>
      <c r="C2" s="5" t="s">
        <v>3</v>
      </c>
      <c r="E2" s="4" t="s">
        <v>1</v>
      </c>
      <c r="F2" s="5" t="s">
        <v>2</v>
      </c>
      <c r="G2" s="5" t="s">
        <v>3</v>
      </c>
      <c r="H2" s="5" t="s">
        <v>33</v>
      </c>
      <c r="J2" s="12" t="s">
        <v>37</v>
      </c>
      <c r="K2" s="13" t="s">
        <v>39</v>
      </c>
      <c r="P2" t="s">
        <v>2</v>
      </c>
      <c r="Q2" t="s">
        <v>3</v>
      </c>
    </row>
    <row r="3" spans="1:23" ht="16" x14ac:dyDescent="0.2">
      <c r="A3" s="1">
        <v>42370</v>
      </c>
      <c r="B3" s="2">
        <v>1.44</v>
      </c>
      <c r="C3" s="2">
        <v>-4.97</v>
      </c>
      <c r="E3" s="1">
        <v>42370</v>
      </c>
      <c r="F3">
        <f>B3/100</f>
        <v>1.44E-2</v>
      </c>
      <c r="G3">
        <f>C3/100</f>
        <v>-4.9699999999999994E-2</v>
      </c>
      <c r="H3" s="8">
        <f>($P$3*$F3)+($Q$3*$G3)</f>
        <v>-6.2107721561840603E-3</v>
      </c>
      <c r="I3">
        <f>5000000*(1+H3)</f>
        <v>4968946.1392190801</v>
      </c>
      <c r="J3" s="10" t="s">
        <v>16</v>
      </c>
      <c r="K3" s="11">
        <v>-1.2875670505002644E-3</v>
      </c>
      <c r="O3" t="s">
        <v>27</v>
      </c>
      <c r="P3">
        <v>0.6784590927272377</v>
      </c>
      <c r="Q3">
        <v>0.3215409072727623</v>
      </c>
      <c r="T3" s="36" t="s">
        <v>49</v>
      </c>
      <c r="U3" s="36" t="s">
        <v>51</v>
      </c>
      <c r="V3" s="36"/>
      <c r="W3" s="36" t="s">
        <v>52</v>
      </c>
    </row>
    <row r="4" spans="1:23" ht="16" x14ac:dyDescent="0.2">
      <c r="A4" s="1">
        <v>42401</v>
      </c>
      <c r="B4" s="2">
        <v>0.67</v>
      </c>
      <c r="C4" s="2">
        <v>-0.14000000000000001</v>
      </c>
      <c r="E4" s="1">
        <v>42401</v>
      </c>
      <c r="F4">
        <f>B4/100</f>
        <v>6.7000000000000002E-3</v>
      </c>
      <c r="G4">
        <f>C4/100</f>
        <v>-1.4000000000000002E-3</v>
      </c>
      <c r="H4" s="8">
        <f t="shared" ref="H4:H9" si="0">($P$3*$F4)+($Q$3*$G4)</f>
        <v>4.0955186510906261E-3</v>
      </c>
      <c r="I4">
        <f>I3*(1+H4)</f>
        <v>4989296.5508085173</v>
      </c>
      <c r="J4" s="10" t="s">
        <v>17</v>
      </c>
      <c r="K4" s="11">
        <v>0.12721064490444062</v>
      </c>
      <c r="O4" t="s">
        <v>28</v>
      </c>
      <c r="P4">
        <v>1.1715491170662123E-4</v>
      </c>
      <c r="T4" s="36" t="s">
        <v>50</v>
      </c>
      <c r="U4" s="37">
        <v>9.4518082422598276E-3</v>
      </c>
      <c r="V4" s="38" t="s">
        <v>38</v>
      </c>
      <c r="W4" s="37">
        <v>1.7547801294287416E-2</v>
      </c>
    </row>
    <row r="5" spans="1:23" ht="16" x14ac:dyDescent="0.2">
      <c r="A5" s="1">
        <v>42430</v>
      </c>
      <c r="B5" s="2">
        <v>0.95</v>
      </c>
      <c r="C5" s="2">
        <v>6.78</v>
      </c>
      <c r="E5" s="1">
        <v>42430</v>
      </c>
      <c r="F5">
        <f>B5/100</f>
        <v>9.4999999999999998E-3</v>
      </c>
      <c r="G5">
        <f>C5/100</f>
        <v>6.7799999999999999E-2</v>
      </c>
      <c r="H5" s="8">
        <f t="shared" si="0"/>
        <v>2.8245834894002043E-2</v>
      </c>
      <c r="I5">
        <f>I4*(1+H5)</f>
        <v>5130223.397419868</v>
      </c>
      <c r="J5" s="10" t="s">
        <v>18</v>
      </c>
      <c r="K5" s="11">
        <v>-0.13992111007546301</v>
      </c>
      <c r="O5" t="s">
        <v>29</v>
      </c>
      <c r="P5">
        <v>5.1366158518034027E-3</v>
      </c>
      <c r="T5" s="36" t="s">
        <v>47</v>
      </c>
      <c r="U5" s="37">
        <v>1.1086828762196082E-2</v>
      </c>
      <c r="V5" s="38" t="s">
        <v>38</v>
      </c>
      <c r="W5" s="37">
        <v>9.0370455559966381E-2</v>
      </c>
    </row>
    <row r="6" spans="1:23" ht="16" x14ac:dyDescent="0.2">
      <c r="A6" s="1">
        <v>42461</v>
      </c>
      <c r="B6" s="2">
        <v>0.39</v>
      </c>
      <c r="C6" s="2">
        <v>0.39</v>
      </c>
      <c r="E6" s="1">
        <v>42461</v>
      </c>
      <c r="F6">
        <f>B6/100</f>
        <v>3.9000000000000003E-3</v>
      </c>
      <c r="G6">
        <f>C6/100</f>
        <v>3.9000000000000003E-3</v>
      </c>
      <c r="H6" s="8">
        <f t="shared" si="0"/>
        <v>3.8999999999999998E-3</v>
      </c>
      <c r="I6">
        <f t="shared" ref="I6:I9" si="1">I5*(1+H6)</f>
        <v>5150231.2686698055</v>
      </c>
      <c r="J6" s="10" t="s">
        <v>19</v>
      </c>
      <c r="K6" s="11">
        <v>7.1772927273714343E-2</v>
      </c>
      <c r="O6" t="s">
        <v>30</v>
      </c>
      <c r="P6">
        <v>1.0823812253851284E-2</v>
      </c>
      <c r="T6" s="36" t="s">
        <v>31</v>
      </c>
      <c r="U6" s="39">
        <v>0.85252586154199894</v>
      </c>
      <c r="V6" s="40" t="s">
        <v>53</v>
      </c>
      <c r="W6" s="41">
        <v>0.19417630668734834</v>
      </c>
    </row>
    <row r="7" spans="1:23" ht="16" x14ac:dyDescent="0.2">
      <c r="A7" s="1">
        <v>42491</v>
      </c>
      <c r="B7" s="2">
        <v>0.02</v>
      </c>
      <c r="C7" s="2">
        <v>1.79</v>
      </c>
      <c r="E7" s="1">
        <v>42491</v>
      </c>
      <c r="F7">
        <f>B7/100</f>
        <v>2.0000000000000001E-4</v>
      </c>
      <c r="G7">
        <f>C7/100</f>
        <v>1.7899999999999999E-2</v>
      </c>
      <c r="H7" s="8">
        <f t="shared" si="0"/>
        <v>5.8912740587278925E-3</v>
      </c>
      <c r="I7">
        <f>I6*(1+H7)</f>
        <v>5180572.6925393688</v>
      </c>
      <c r="J7" s="10" t="s">
        <v>20</v>
      </c>
      <c r="K7" s="11">
        <v>-4.2659753227921537E-2</v>
      </c>
      <c r="O7" t="s">
        <v>31</v>
      </c>
      <c r="P7">
        <v>0.47456623704607526</v>
      </c>
    </row>
    <row r="8" spans="1:23" ht="16" x14ac:dyDescent="0.2">
      <c r="A8" s="1">
        <v>42522</v>
      </c>
      <c r="B8" s="2">
        <v>1.94</v>
      </c>
      <c r="C8" s="2">
        <v>0.26</v>
      </c>
      <c r="E8" s="1">
        <v>42522</v>
      </c>
      <c r="F8">
        <f>B8/100</f>
        <v>1.9400000000000001E-2</v>
      </c>
      <c r="G8">
        <f>C8/100</f>
        <v>2.5999999999999999E-3</v>
      </c>
      <c r="H8" s="8">
        <f t="shared" si="0"/>
        <v>1.3998112757817593E-2</v>
      </c>
      <c r="I8">
        <f t="shared" si="1"/>
        <v>5253090.9332396062</v>
      </c>
      <c r="J8" s="10" t="s">
        <v>21</v>
      </c>
      <c r="K8" s="11">
        <v>9.0062773850685618E-2</v>
      </c>
      <c r="O8" t="s">
        <v>32</v>
      </c>
      <c r="P8">
        <v>3392295.4636361883</v>
      </c>
      <c r="Q8">
        <v>1607704.5363638115</v>
      </c>
    </row>
    <row r="9" spans="1:23" ht="16" x14ac:dyDescent="0.2">
      <c r="A9" s="1">
        <v>42552</v>
      </c>
      <c r="B9" s="2">
        <v>0.65</v>
      </c>
      <c r="C9" s="2">
        <v>3.68</v>
      </c>
      <c r="E9" s="1">
        <v>42552</v>
      </c>
      <c r="F9">
        <f>B9/100</f>
        <v>6.5000000000000006E-3</v>
      </c>
      <c r="G9">
        <f>C9/100</f>
        <v>3.6799999999999999E-2</v>
      </c>
      <c r="H9" s="8">
        <f t="shared" si="0"/>
        <v>1.6242689490364698E-2</v>
      </c>
      <c r="I9">
        <f t="shared" si="1"/>
        <v>5338415.2581328675</v>
      </c>
      <c r="J9" s="10" t="s">
        <v>22</v>
      </c>
      <c r="K9" s="11">
        <v>1.7656693385056144E-2</v>
      </c>
    </row>
    <row r="10" spans="1:23" ht="16" x14ac:dyDescent="0.2">
      <c r="G10" t="s">
        <v>29</v>
      </c>
      <c r="H10" s="8">
        <f>AVERAGE(H3:H9)</f>
        <v>9.4518082422598276E-3</v>
      </c>
      <c r="I10" t="s">
        <v>38</v>
      </c>
      <c r="J10" s="10" t="s">
        <v>36</v>
      </c>
      <c r="K10" s="11">
        <v>1.7547801294287416E-2</v>
      </c>
    </row>
    <row r="11" spans="1:23" ht="16" x14ac:dyDescent="0.2">
      <c r="G11" t="s">
        <v>34</v>
      </c>
      <c r="H11" s="8">
        <f>STDEV(H3:H9)</f>
        <v>1.1086828762196082E-2</v>
      </c>
      <c r="I11" t="s">
        <v>38</v>
      </c>
      <c r="J11" s="10" t="s">
        <v>34</v>
      </c>
      <c r="K11" s="11">
        <v>9.0370455559966381E-2</v>
      </c>
    </row>
    <row r="12" spans="1:23" ht="16" x14ac:dyDescent="0.2">
      <c r="G12" t="s">
        <v>31</v>
      </c>
      <c r="H12" s="14">
        <f>(H17-0)/H18</f>
        <v>0.85252586154199894</v>
      </c>
      <c r="J12" s="10" t="s">
        <v>40</v>
      </c>
      <c r="K12" s="15">
        <f>(J17-0)/J18</f>
        <v>0.19417630668734834</v>
      </c>
    </row>
    <row r="13" spans="1:23" ht="16" x14ac:dyDescent="0.2">
      <c r="J13" s="10"/>
      <c r="K13" s="11"/>
    </row>
    <row r="14" spans="1:23" ht="16" x14ac:dyDescent="0.2">
      <c r="J14" s="10"/>
      <c r="K14" s="11"/>
    </row>
    <row r="15" spans="1:23" ht="16" x14ac:dyDescent="0.2">
      <c r="J15" s="10"/>
      <c r="K15" s="11"/>
    </row>
    <row r="16" spans="1:23" ht="16" x14ac:dyDescent="0.2">
      <c r="J16" s="10"/>
      <c r="K16" s="11"/>
    </row>
    <row r="17" spans="7:13" ht="16" x14ac:dyDescent="0.2">
      <c r="H17">
        <f>H10/100</f>
        <v>9.4518082422598279E-5</v>
      </c>
      <c r="J17" s="10">
        <f>K10/100</f>
        <v>1.7547801294287417E-4</v>
      </c>
      <c r="K17" s="11"/>
    </row>
    <row r="18" spans="7:13" x14ac:dyDescent="0.2">
      <c r="H18">
        <f>H11/100</f>
        <v>1.1086828762196082E-4</v>
      </c>
      <c r="J18">
        <f>K11/100</f>
        <v>9.0370455559966379E-4</v>
      </c>
    </row>
    <row r="19" spans="7:13" x14ac:dyDescent="0.2">
      <c r="G19" t="s">
        <v>31</v>
      </c>
      <c r="H19">
        <f>(H17-0)/H18</f>
        <v>0.85252586154199894</v>
      </c>
    </row>
    <row r="23" spans="7:13" x14ac:dyDescent="0.2">
      <c r="H23" cm="1">
        <f t="array" ref="H23">5000000*PRODUCT(1+H3:H9)</f>
        <v>5338415.2581328666</v>
      </c>
      <c r="K23" s="42" t="s">
        <v>41</v>
      </c>
      <c r="L23" t="s">
        <v>42</v>
      </c>
      <c r="M23" t="s">
        <v>43</v>
      </c>
    </row>
    <row r="24" spans="7:13" x14ac:dyDescent="0.2">
      <c r="K24" s="43" t="s">
        <v>54</v>
      </c>
      <c r="L24" s="8">
        <v>-6.2107721561840603E-3</v>
      </c>
      <c r="M24" s="8">
        <v>-1.2875670505002644E-3</v>
      </c>
    </row>
    <row r="25" spans="7:13" x14ac:dyDescent="0.2">
      <c r="K25" s="43" t="s">
        <v>56</v>
      </c>
      <c r="L25" s="8">
        <v>4.0955186510906261E-3</v>
      </c>
      <c r="M25" s="8">
        <v>0.12721064490444062</v>
      </c>
    </row>
    <row r="26" spans="7:13" x14ac:dyDescent="0.2">
      <c r="K26" s="43" t="s">
        <v>55</v>
      </c>
      <c r="L26" s="8">
        <v>2.8245834894002043E-2</v>
      </c>
      <c r="M26" s="8">
        <v>-0.13992111007546301</v>
      </c>
    </row>
    <row r="27" spans="7:13" x14ac:dyDescent="0.2">
      <c r="K27" s="43" t="s">
        <v>60</v>
      </c>
      <c r="L27" s="8">
        <v>3.8999999999999998E-3</v>
      </c>
      <c r="M27" s="8">
        <v>7.1772927273714343E-2</v>
      </c>
    </row>
    <row r="28" spans="7:13" x14ac:dyDescent="0.2">
      <c r="K28" s="43" t="s">
        <v>57</v>
      </c>
      <c r="L28" s="8">
        <v>5.8912740587278925E-3</v>
      </c>
      <c r="M28" s="8">
        <v>-4.2659753227921537E-2</v>
      </c>
    </row>
    <row r="29" spans="7:13" x14ac:dyDescent="0.2">
      <c r="K29" s="43" t="s">
        <v>59</v>
      </c>
      <c r="L29" s="8">
        <v>1.3998112757817593E-2</v>
      </c>
      <c r="M29" s="8">
        <v>9.0062773850685618E-2</v>
      </c>
    </row>
    <row r="30" spans="7:13" x14ac:dyDescent="0.2">
      <c r="K30" s="43" t="s">
        <v>58</v>
      </c>
      <c r="L30" s="8">
        <v>1.6242689490364698E-2</v>
      </c>
      <c r="M30" s="8">
        <v>1.7656693385056144E-2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E666-E292-A842-8C4C-F9AB1F0C904A}">
  <dimension ref="A1:L16"/>
  <sheetViews>
    <sheetView tabSelected="1" zoomScale="150" zoomScaleNormal="150" workbookViewId="0">
      <selection activeCell="E23" sqref="E23"/>
    </sheetView>
  </sheetViews>
  <sheetFormatPr baseColWidth="10" defaultRowHeight="16" x14ac:dyDescent="0.2"/>
  <cols>
    <col min="1" max="7" width="10.83203125" style="6"/>
    <col min="8" max="8" width="15" style="6" customWidth="1"/>
    <col min="9" max="9" width="10.83203125" style="9"/>
    <col min="10" max="16384" width="10.83203125" style="6"/>
  </cols>
  <sheetData>
    <row r="1" spans="1:12" x14ac:dyDescent="0.2">
      <c r="A1" s="6" t="s">
        <v>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9" t="s">
        <v>35</v>
      </c>
      <c r="L1" s="6" t="s">
        <v>37</v>
      </c>
    </row>
    <row r="2" spans="1:12" x14ac:dyDescent="0.2">
      <c r="A2" s="7">
        <v>42071</v>
      </c>
      <c r="B2" s="6">
        <v>121.5</v>
      </c>
      <c r="C2" s="6">
        <v>122.57</v>
      </c>
      <c r="D2" s="6">
        <v>92</v>
      </c>
      <c r="E2" s="6">
        <v>112.760002</v>
      </c>
      <c r="F2" s="6">
        <v>79152700</v>
      </c>
      <c r="G2" s="6">
        <v>110.997612</v>
      </c>
    </row>
    <row r="3" spans="1:12" x14ac:dyDescent="0.2">
      <c r="A3" s="7">
        <v>42013</v>
      </c>
      <c r="B3" s="6">
        <v>110.150002</v>
      </c>
      <c r="C3" s="6">
        <v>116.889999</v>
      </c>
      <c r="D3" s="6">
        <v>107.360001</v>
      </c>
      <c r="E3" s="6">
        <v>110.300003</v>
      </c>
      <c r="F3" s="6">
        <v>60620000</v>
      </c>
      <c r="G3" s="6">
        <v>108.57605700000001</v>
      </c>
      <c r="H3" s="6" t="s">
        <v>11</v>
      </c>
      <c r="I3" s="9">
        <f>(G3-G2)/G2</f>
        <v>-2.1816280155648734E-2</v>
      </c>
    </row>
    <row r="4" spans="1:12" x14ac:dyDescent="0.2">
      <c r="A4" s="7">
        <v>42014</v>
      </c>
      <c r="B4" s="6">
        <v>109.07</v>
      </c>
      <c r="C4" s="6">
        <v>121.220001</v>
      </c>
      <c r="D4" s="6">
        <v>107.30999799999999</v>
      </c>
      <c r="E4" s="6">
        <v>119.5</v>
      </c>
      <c r="F4" s="6">
        <v>52797300</v>
      </c>
      <c r="G4" s="6">
        <v>117.63226299999999</v>
      </c>
      <c r="H4" s="6" t="s">
        <v>12</v>
      </c>
      <c r="I4" s="9">
        <f t="shared" ref="I4:I14" si="0">(G4-G3)/G3</f>
        <v>8.3408867942220341E-2</v>
      </c>
    </row>
    <row r="5" spans="1:12" x14ac:dyDescent="0.2">
      <c r="A5" s="7">
        <v>42046</v>
      </c>
      <c r="B5" s="6">
        <v>120.800003</v>
      </c>
      <c r="C5" s="6">
        <v>123.82</v>
      </c>
      <c r="D5" s="6">
        <v>111</v>
      </c>
      <c r="E5" s="6">
        <v>118.300003</v>
      </c>
      <c r="F5" s="6">
        <v>39491000</v>
      </c>
      <c r="G5" s="6">
        <v>116.949501</v>
      </c>
      <c r="H5" s="6" t="s">
        <v>13</v>
      </c>
      <c r="I5" s="9">
        <f t="shared" si="0"/>
        <v>-5.804206963186594E-3</v>
      </c>
    </row>
    <row r="6" spans="1:12" x14ac:dyDescent="0.2">
      <c r="A6" s="7">
        <v>42016</v>
      </c>
      <c r="B6" s="6">
        <v>118.75</v>
      </c>
      <c r="C6" s="6">
        <v>119.860001</v>
      </c>
      <c r="D6" s="6">
        <v>104.82</v>
      </c>
      <c r="E6" s="6">
        <v>105.260002</v>
      </c>
      <c r="F6" s="6">
        <v>43750400</v>
      </c>
      <c r="G6" s="6">
        <v>104.05836499999999</v>
      </c>
      <c r="H6" s="6" t="s">
        <v>14</v>
      </c>
      <c r="I6" s="9">
        <f t="shared" si="0"/>
        <v>-0.11022822577071109</v>
      </c>
    </row>
    <row r="7" spans="1:12" x14ac:dyDescent="0.2">
      <c r="A7" s="7">
        <v>42461</v>
      </c>
      <c r="B7" s="6">
        <v>102.610001</v>
      </c>
      <c r="C7" s="6">
        <v>105.849998</v>
      </c>
      <c r="D7" s="6">
        <v>92.389999000000003</v>
      </c>
      <c r="E7" s="6">
        <v>97.339995999999999</v>
      </c>
      <c r="F7" s="6">
        <v>70329700</v>
      </c>
      <c r="G7" s="6">
        <v>96.228774999999999</v>
      </c>
      <c r="H7" s="6" t="s">
        <v>15</v>
      </c>
      <c r="I7" s="9">
        <f t="shared" si="0"/>
        <v>-7.5242293111178485E-2</v>
      </c>
    </row>
    <row r="8" spans="1:12" x14ac:dyDescent="0.2">
      <c r="A8" s="7">
        <v>42371</v>
      </c>
      <c r="B8" s="6">
        <v>96.470000999999996</v>
      </c>
      <c r="C8" s="6">
        <v>98.889999000000003</v>
      </c>
      <c r="D8" s="6">
        <v>92.589995999999999</v>
      </c>
      <c r="E8" s="6">
        <v>96.690002000000007</v>
      </c>
      <c r="F8" s="6">
        <v>42303900</v>
      </c>
      <c r="G8" s="6">
        <v>96.104873999999995</v>
      </c>
      <c r="H8" s="6" t="s">
        <v>16</v>
      </c>
      <c r="I8" s="9">
        <f t="shared" si="0"/>
        <v>-1.2875670505002644E-3</v>
      </c>
    </row>
    <row r="9" spans="1:12" x14ac:dyDescent="0.2">
      <c r="A9" s="7">
        <v>42372</v>
      </c>
      <c r="B9" s="6">
        <v>97.650002000000001</v>
      </c>
      <c r="C9" s="6">
        <v>110.41999800000001</v>
      </c>
      <c r="D9" s="6">
        <v>97.419998000000007</v>
      </c>
      <c r="E9" s="6">
        <v>108.989998</v>
      </c>
      <c r="F9" s="6">
        <v>35088000</v>
      </c>
      <c r="G9" s="6">
        <v>108.330437</v>
      </c>
      <c r="H9" s="6" t="s">
        <v>17</v>
      </c>
      <c r="I9" s="9">
        <f t="shared" si="0"/>
        <v>0.12721064490444062</v>
      </c>
    </row>
    <row r="10" spans="1:12" x14ac:dyDescent="0.2">
      <c r="A10" s="7">
        <v>42373</v>
      </c>
      <c r="B10" s="6">
        <v>108.779999</v>
      </c>
      <c r="C10" s="6">
        <v>112.389999</v>
      </c>
      <c r="D10" s="6">
        <v>92.510002</v>
      </c>
      <c r="E10" s="6">
        <v>93.739998</v>
      </c>
      <c r="F10" s="6">
        <v>44805400</v>
      </c>
      <c r="G10" s="6">
        <v>93.172721999999993</v>
      </c>
      <c r="H10" s="6" t="s">
        <v>18</v>
      </c>
      <c r="I10" s="9">
        <f t="shared" si="0"/>
        <v>-0.13992111007546301</v>
      </c>
    </row>
    <row r="11" spans="1:12" x14ac:dyDescent="0.2">
      <c r="A11" s="7">
        <v>42405</v>
      </c>
      <c r="B11" s="6">
        <v>93.970000999999996</v>
      </c>
      <c r="C11" s="6">
        <v>100.730003</v>
      </c>
      <c r="D11" s="6">
        <v>89.470000999999996</v>
      </c>
      <c r="E11" s="6">
        <v>99.860000999999997</v>
      </c>
      <c r="F11" s="6">
        <v>44903700</v>
      </c>
      <c r="G11" s="6">
        <v>99.860000999999997</v>
      </c>
      <c r="H11" s="6" t="s">
        <v>19</v>
      </c>
      <c r="I11" s="9">
        <f t="shared" si="0"/>
        <v>7.1772927273714343E-2</v>
      </c>
    </row>
    <row r="12" spans="1:12" x14ac:dyDescent="0.2">
      <c r="A12" s="7">
        <v>42375</v>
      </c>
      <c r="B12" s="6">
        <v>99.019997000000004</v>
      </c>
      <c r="C12" s="6">
        <v>101.889999</v>
      </c>
      <c r="D12" s="6">
        <v>91.5</v>
      </c>
      <c r="E12" s="6">
        <v>95.599997999999999</v>
      </c>
      <c r="F12" s="6">
        <v>37060600</v>
      </c>
      <c r="G12" s="6">
        <v>95.599997999999999</v>
      </c>
      <c r="H12" s="6" t="s">
        <v>20</v>
      </c>
      <c r="I12" s="9">
        <f t="shared" si="0"/>
        <v>-4.2659753227921537E-2</v>
      </c>
    </row>
    <row r="13" spans="1:12" x14ac:dyDescent="0.2">
      <c r="A13" s="7">
        <v>42376</v>
      </c>
      <c r="B13" s="6">
        <v>95.489998</v>
      </c>
      <c r="C13" s="6">
        <v>104.550003</v>
      </c>
      <c r="D13" s="6">
        <v>94.370002999999997</v>
      </c>
      <c r="E13" s="6">
        <v>104.209999</v>
      </c>
      <c r="F13" s="6">
        <v>34748300</v>
      </c>
      <c r="G13" s="6">
        <v>104.209999</v>
      </c>
      <c r="H13" s="6" t="s">
        <v>21</v>
      </c>
      <c r="I13" s="9">
        <f t="shared" si="0"/>
        <v>9.0062773850685618E-2</v>
      </c>
    </row>
    <row r="14" spans="1:12" x14ac:dyDescent="0.2">
      <c r="A14" s="7">
        <v>42377</v>
      </c>
      <c r="B14" s="6">
        <v>104.410004</v>
      </c>
      <c r="C14" s="6">
        <v>106.150002</v>
      </c>
      <c r="D14" s="6">
        <v>104.410004</v>
      </c>
      <c r="E14" s="6">
        <v>106.050003</v>
      </c>
      <c r="F14" s="6">
        <v>74998000</v>
      </c>
      <c r="G14" s="6">
        <v>106.050003</v>
      </c>
      <c r="H14" s="6" t="s">
        <v>22</v>
      </c>
      <c r="I14" s="9">
        <f t="shared" si="0"/>
        <v>1.7656693385056144E-2</v>
      </c>
    </row>
    <row r="15" spans="1:12" x14ac:dyDescent="0.2">
      <c r="H15" s="6" t="s">
        <v>36</v>
      </c>
      <c r="I15" s="9">
        <f>AVERAGE(I8:I14)</f>
        <v>1.7547801294287416E-2</v>
      </c>
    </row>
    <row r="16" spans="1:12" x14ac:dyDescent="0.2">
      <c r="H16" s="6" t="s">
        <v>34</v>
      </c>
      <c r="I16" s="9">
        <f>STDEV(I8:I14)</f>
        <v>9.0370455559966381E-2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Portoflio Construction</vt:lpstr>
      <vt:lpstr>Portfolio Performance</vt:lpstr>
      <vt:lpstr>AAPL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Luca Nasillo N0997567</cp:lastModifiedBy>
  <dcterms:created xsi:type="dcterms:W3CDTF">2016-09-14T20:59:42Z</dcterms:created>
  <dcterms:modified xsi:type="dcterms:W3CDTF">2026-03-04T16:33:18Z</dcterms:modified>
</cp:coreProperties>
</file>